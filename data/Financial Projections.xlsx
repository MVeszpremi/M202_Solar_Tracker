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<sst xmlns="http://schemas.openxmlformats.org/spreadsheetml/2006/main" count="47" uniqueCount="29">
  <si>
    <t>Average 1 MW Solar Farm Cost</t>
  </si>
  <si>
    <t>5.2 MW Solar Farm Cost</t>
  </si>
  <si>
    <t>Average Solar Panel Production</t>
  </si>
  <si>
    <t>Watts</t>
  </si>
  <si>
    <t>kWh</t>
  </si>
  <si>
    <t>5.2 MW Farm Solar Panel Total</t>
  </si>
  <si>
    <t>Panels</t>
  </si>
  <si>
    <t>Average cost of electricity in US</t>
  </si>
  <si>
    <t>per kWh</t>
  </si>
  <si>
    <t>Average solar panel repair time</t>
  </si>
  <si>
    <t>hours</t>
  </si>
  <si>
    <t>Conservative Destruction</t>
  </si>
  <si>
    <t>Case Study Destruction</t>
  </si>
  <si>
    <t>Amount of Panels Lost</t>
  </si>
  <si>
    <t>Panel Mechanism Damage</t>
  </si>
  <si>
    <t>Labor Cost Per Panel</t>
  </si>
  <si>
    <t>Total Labor Cost</t>
  </si>
  <si>
    <t>Total Lost Power due to Damage</t>
  </si>
  <si>
    <t>Cost of Lost Power (per hour)</t>
  </si>
  <si>
    <t>per hour</t>
  </si>
  <si>
    <t>Total Cost of Lost Power</t>
  </si>
  <si>
    <t>(3 days)</t>
  </si>
  <si>
    <t>Customer Invoncenince Estimate (Depends on the customers)</t>
  </si>
  <si>
    <t>- Depends on the customers</t>
  </si>
  <si>
    <t>- Power needs</t>
  </si>
  <si>
    <t xml:space="preserve">- Food, refrigeration, appliances, etc. </t>
  </si>
  <si>
    <t>- Can range from a few dollars to thousands, to millions</t>
  </si>
  <si>
    <t>- Studies show just a four hour outage can result in $20,000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</si>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</sst>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2" fontId="1" numFmtId="0" xfId="0" applyAlignment="1" applyFill="1" applyFont="1">
      <alignment readingOrder="0"/>
    </xf>
    <xf borderId="0" fillId="2" fontId="1" numFmtId="10" xfId="0" applyAlignment="1" applyFont="1" applyNumberForma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 Panel "Protect Mode" - Financial Savings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Initial Investment for 5.2MW Farm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Sheet1!$B$2</c:f>
              <c:numCache/>
            </c:numRef>
          </c:val>
        </c:ser>
        <c:ser>
          <c:idx val="1"/>
          <c:order val="1"/>
          <c:tx>
            <c:v>Total Cost if 5% Destruction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Sheet1!$B$29</c:f>
              <c:numCache/>
            </c:numRef>
          </c:val>
        </c:ser>
        <c:ser>
          <c:idx val="2"/>
          <c:order val="2"/>
          <c:tx>
            <c:v>Total Cost from Case Study 80% Destruction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Sheet1!$F$29</c:f>
              <c:numCache/>
            </c:numRef>
          </c:val>
        </c:ser>
        <c:axId val="672178359"/>
        <c:axId val="354087712"/>
      </c:barChart>
      <c:catAx>
        <c:axId val="67217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087712"/>
      </c:catAx>
      <c:valAx>
        <c:axId val="354087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1783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1390650</xdr:colOff>
      <xdr:row>30</xdr:row>
      <xdr:rowOff>95250</xdr:rowOff>
    </xdr:from>
    <xdr:ext cx="8343900" cy="5162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5" max="5" width="46.75"/>
  </cols>
  <sheetData>
    <row r="1">
      <c r="A1" s="1" t="s">
        <v>0</v>
      </c>
      <c r="B1" s="2">
        <v>1100000.0</v>
      </c>
    </row>
    <row r="2">
      <c r="A2" s="1" t="s">
        <v>1</v>
      </c>
      <c r="B2" s="3">
        <f>B1*5.2</f>
        <v>5720000</v>
      </c>
    </row>
    <row r="4">
      <c r="A4" s="1" t="s">
        <v>2</v>
      </c>
      <c r="B4" s="4">
        <v>400.0</v>
      </c>
      <c r="C4" s="1" t="s">
        <v>3</v>
      </c>
      <c r="D4" s="1">
        <v>0.4</v>
      </c>
      <c r="E4" s="1" t="s">
        <v>4</v>
      </c>
    </row>
    <row r="5">
      <c r="A5" s="1" t="s">
        <v>5</v>
      </c>
      <c r="B5" s="5">
        <f> (5.2*10^6)/B4</f>
        <v>13000</v>
      </c>
      <c r="C5" s="1" t="s">
        <v>6</v>
      </c>
    </row>
    <row r="6">
      <c r="B6" s="3"/>
    </row>
    <row r="7">
      <c r="A7" s="1" t="s">
        <v>7</v>
      </c>
      <c r="B7" s="2">
        <v>0.1593</v>
      </c>
      <c r="C7" s="1" t="s">
        <v>8</v>
      </c>
    </row>
    <row r="9">
      <c r="A9" s="1" t="s">
        <v>9</v>
      </c>
      <c r="B9" s="1">
        <v>72.0</v>
      </c>
      <c r="C9" s="1" t="s">
        <v>10</v>
      </c>
    </row>
    <row r="11">
      <c r="B11" s="3"/>
    </row>
    <row r="12">
      <c r="B12" s="3"/>
    </row>
    <row r="13">
      <c r="B13" s="3"/>
    </row>
    <row r="14">
      <c r="A14" s="6" t="s">
        <v>11</v>
      </c>
      <c r="B14" s="7">
        <v>0.05</v>
      </c>
      <c r="E14" s="6" t="s">
        <v>12</v>
      </c>
      <c r="F14" s="7">
        <v>0.8</v>
      </c>
    </row>
    <row r="15">
      <c r="A15" s="1" t="s">
        <v>13</v>
      </c>
      <c r="B15" s="8">
        <f>B5*B14</f>
        <v>650</v>
      </c>
      <c r="E15" s="1" t="s">
        <v>13</v>
      </c>
      <c r="F15" s="5">
        <f>B5*F14</f>
        <v>10400</v>
      </c>
    </row>
    <row r="16">
      <c r="A16" s="1" t="s">
        <v>14</v>
      </c>
      <c r="B16" s="3">
        <f>B14*B2</f>
        <v>286000</v>
      </c>
      <c r="E16" s="1" t="s">
        <v>14</v>
      </c>
      <c r="F16" s="3">
        <f>F14*B2</f>
        <v>4576000</v>
      </c>
    </row>
    <row r="17">
      <c r="A17" s="1" t="s">
        <v>15</v>
      </c>
      <c r="B17" s="2">
        <v>26.0</v>
      </c>
      <c r="E17" s="1" t="s">
        <v>15</v>
      </c>
      <c r="F17" s="2">
        <v>26.0</v>
      </c>
    </row>
    <row r="18">
      <c r="A18" s="1" t="s">
        <v>16</v>
      </c>
      <c r="B18" s="3">
        <f>B17*B15</f>
        <v>16900</v>
      </c>
      <c r="E18" s="1" t="s">
        <v>16</v>
      </c>
      <c r="F18" s="3">
        <f>F17*F15</f>
        <v>270400</v>
      </c>
    </row>
    <row r="19">
      <c r="A19" s="1" t="s">
        <v>17</v>
      </c>
      <c r="B19" s="5">
        <f>B15*D4</f>
        <v>260</v>
      </c>
      <c r="C19" s="1" t="s">
        <v>4</v>
      </c>
      <c r="E19" s="1" t="s">
        <v>17</v>
      </c>
      <c r="F19" s="5">
        <f>F15*D4</f>
        <v>4160</v>
      </c>
      <c r="G19" s="1" t="s">
        <v>4</v>
      </c>
    </row>
    <row r="20">
      <c r="A20" s="1" t="s">
        <v>18</v>
      </c>
      <c r="B20" s="3">
        <f>B19*B7</f>
        <v>41.418</v>
      </c>
      <c r="C20" s="1" t="s">
        <v>19</v>
      </c>
      <c r="E20" s="1" t="s">
        <v>18</v>
      </c>
      <c r="F20" s="3">
        <f>F19*B7</f>
        <v>662.688</v>
      </c>
      <c r="G20" s="1" t="s">
        <v>19</v>
      </c>
    </row>
    <row r="21">
      <c r="A21" s="1" t="s">
        <v>20</v>
      </c>
      <c r="B21" s="3">
        <f>B19*B9</f>
        <v>18720</v>
      </c>
      <c r="C21" s="1" t="s">
        <v>21</v>
      </c>
      <c r="E21" s="1" t="s">
        <v>20</v>
      </c>
      <c r="F21" s="3">
        <f>F19*B9</f>
        <v>299520</v>
      </c>
      <c r="G21" s="1" t="s">
        <v>21</v>
      </c>
    </row>
    <row r="22">
      <c r="A22" s="1" t="s">
        <v>22</v>
      </c>
      <c r="B22" s="3">
        <f> 5000*B9</f>
        <v>360000</v>
      </c>
      <c r="E22" s="1" t="s">
        <v>22</v>
      </c>
      <c r="F22" s="3">
        <f>B22*(1+(F14-B14))</f>
        <v>630000</v>
      </c>
    </row>
    <row r="23">
      <c r="A23" s="1" t="s">
        <v>23</v>
      </c>
      <c r="B23" s="3"/>
      <c r="E23" s="1" t="s">
        <v>23</v>
      </c>
      <c r="F23" s="3"/>
    </row>
    <row r="24">
      <c r="A24" s="1" t="s">
        <v>24</v>
      </c>
      <c r="B24" s="3"/>
      <c r="E24" s="1" t="s">
        <v>24</v>
      </c>
      <c r="F24" s="3"/>
    </row>
    <row r="25">
      <c r="A25" s="1" t="s">
        <v>25</v>
      </c>
      <c r="E25" s="1" t="s">
        <v>25</v>
      </c>
    </row>
    <row r="26">
      <c r="A26" s="1" t="s">
        <v>26</v>
      </c>
      <c r="E26" s="1" t="s">
        <v>26</v>
      </c>
    </row>
    <row r="27">
      <c r="A27" s="1" t="s">
        <v>27</v>
      </c>
      <c r="E27" s="1" t="s">
        <v>27</v>
      </c>
    </row>
    <row r="29">
      <c r="A29" s="9" t="s">
        <v>28</v>
      </c>
      <c r="B29" s="10">
        <f>-1*SUM(B16,B18,B21,B22)</f>
        <v>-681620</v>
      </c>
      <c r="E29" s="9" t="s">
        <v>28</v>
      </c>
      <c r="F29" s="10">
        <f>-1* SUM(F16,F18,F21,F22)</f>
        <v>-5775920</v>
      </c>
    </row>
  </sheetData>
  <drawing r:id="rId1"/>
</worksheet>
</file>